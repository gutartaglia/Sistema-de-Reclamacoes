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elo (sem dado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<sst xmlns="http://schemas.openxmlformats.org/spreadsheetml/2006/main" count="106" uniqueCount="49">
  <si>
    <t xml:space="preserve">Dashboard de Reclamações de Clientes</t>
  </si>
  <si>
    <t xml:space="preserve">Consolidado de Indicadores de Qualidade — Todas as Filiais</t>
  </si>
  <si>
    <t xml:space="preserve">1. Evolução Mensal de Reclamações</t>
  </si>
  <si>
    <t xml:space="preserve">Categoria</t>
  </si>
  <si>
    <t xml:space="preserve">Reclamações</t>
  </si>
  <si>
    <t xml:space="preserve">Out/2025</t>
  </si>
  <si>
    <t xml:space="preserve">Nov/2025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</si>
  <si>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</si>
  <si>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</si>
  <si>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</si>
  <si>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</si>
  <si>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</si>
  <si>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</si>
  <si>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Total</t>
  </si>
  <si>
    <t xml:space="preserve">2. Índice de Reclamações (nº / 2000 unidades)</t>
  </si>
  <si>
    <t xml:space="preserve">Índice (nº / 2000)</t>
  </si>
  <si>
    <t xml:space="preserve">Média</t>
  </si>
  <si>
    <t xml:space="preserve">3. Causas das Reclamações por Mês</t>
  </si>
  <si>
    <t xml:space="preserve">Mês</t>
  </si>
  <si>
    <t xml:space="preserve">Atraso na entrega</t>
  </si>
  <si>
    <t xml:space="preserve">Defeito de fabricacao</t>
  </si>
  <si>
    <t xml:space="preserve">Divergencia de quantidade</t>
  </si>
  <si>
    <t xml:space="preserve">Embalagem avariada</t>
  </si>
  <si>
    <t xml:space="preserve">Erro na nota fiscal</t>
  </si>
  <si>
    <t xml:space="preserve">Produto fora de especificacao</t>
  </si>
  <si>
    <t xml:space="preserve">alguma ai</t>
  </si>
  <si>
    <t xml:space="preserve">asdasd</t>
  </si>
  <si>
    <t xml:space="preserve">Obs.: as colunas "alguma ai" e "asdasd" vieram assim nomeadas na planilha original — nomes a confirmar/renomear com a Qualidade.</t>
  </si>
  <si>
    <t xml:space="preserve">4. Diagrama de Pareto das Causas</t>
  </si>
  <si>
    <t xml:space="preserve">Causa</t>
  </si>
  <si>
    <t xml:space="preserve">Frequência</t>
  </si>
  <si>
    <t xml:space="preserve">Freq. acumulada</t>
  </si>
  <si>
    <t xml:space="preserve">% do total</t>
  </si>
  <si>
    <t xml:space="preserve">% acumulado</t>
  </si>
  <si>
    <t xml:space="preserve">5. Total de RDCs por Ano</t>
  </si>
  <si>
    <t xml:space="preserve">Total de RDCs</t>
  </si>
  <si>
    <t xml:space="preserve">2023</t>
  </si>
  <si>
    <t xml:space="preserve">2024</t>
  </si>
  <si>
    <t xml:space="preserve">2025</t>
  </si>
  <si>
    <t xml:space="preserve">2026</t>
  </si>
  <si>
    <t xml:space="preserve">Documento gerado automaticamente — Setor de Qualidade Santa Fé.</t>
  </si>
  <si>
    <t xml:space="preserve">Modelo para Preenchimento Automático — sem dados</t>
  </si>
  <si>
    <t xml:space="preserve">Instruções: cada seção abaixo traz apenas os cabeçalhos de coluna. Insira as linhas de dados diretamente abaixo do cabeçalho correspondente, começando na linha indicada. Este modelo não contém gráficos nem fórmulas — eles devem ser gerados pelo programa após a carga dos dados.</t>
  </si>
  <si>
    <t xml:space="preserve">↳ Inserir dados a partir da linha 10, coluna B.</t>
  </si>
  <si>
    <t xml:space="preserve">↳ Inserir dados a partir da linha 15, coluna B.</t>
  </si>
  <si>
    <t xml:space="preserve">↳ Inserir dados a partir da linha 20, coluna B.</t>
  </si>
  <si>
    <t xml:space="preserve">↳ Inserir dados a partir da linha 25, coluna B.</t>
  </si>
  <si>
    <t xml:space="preserve">↳ Inserir dados a partir da linha 30, coluna B.</t>
  </si>
  <si>
    <t xml:space="preserve">Modelo gerado automaticamente — Setor de Qualidade Santa Fé.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</si>
</sst>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00"/>
    <numFmt numFmtId="167" formatCode="0.00\%"/>
    <numFmt numFmtId="168" formatCode="0"/>
    <numFmt numFmtId="169" formatCode="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22222"/>
      </patternFill>
    </fill>
    <fill>
      <patternFill patternType="solid">
        <fgColor rgb="FF41729F"/>
        <bgColor rgb="FF2563EB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B5CF6"/>
      <rgbColor rgb="FF993366"/>
      <rgbColor rgb="FFF2F2F2"/>
      <rgbColor rgb="FFCCFFFF"/>
      <rgbColor rgb="FF660066"/>
      <rgbColor rgb="FFEC4899"/>
      <rgbColor rgb="FF0086D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84CC16"/>
      <rgbColor rgb="FFFFCC00"/>
      <rgbColor rgb="FFF59E0B"/>
      <rgbColor rgb="FFFF6600"/>
      <rgbColor rgb="FF41729F"/>
      <rgbColor rgb="FF878787"/>
      <rgbColor rgb="FF1F3864"/>
      <rgbColor rgb="FF16A34A"/>
      <rgbColor rgb="FF003300"/>
      <rgbColor rgb="FF333300"/>
      <rgbColor rgb="FF993300"/>
      <rgbColor rgb="FF993366"/>
      <rgbColor rgb="FF59595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Reclamações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Dashboard!C7</c:f>
              <c:strCache>
                <c:ptCount val="1"/>
                <c:pt idx="0">
                  <c:v>Reclamações</c:v>
                </c:pt>
              </c:strCache>
            </c:strRef>
          </c:tx>
          <c:spPr>
            <a:solidFill>
              <a:srgbClr val="0086d9"/>
            </a:solidFill>
            <a:ln w="28080">
              <a:solidFill>
                <a:srgbClr val="0086d9"/>
              </a:solidFill>
              <a:round/>
            </a:ln>
          </c:spPr>
          <c:marker>
            <c:symbol val="circle"/>
            <c:size val="7"/>
            <c:spPr>
              <a:solidFill>
                <a:srgbClr val="0086d9"/>
              </a:solidFill>
            </c:spPr>
          </c:marker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Dashboard!$B$8:$B$15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Dashboard!$C$8:$C$15</c:f>
              <c:numCache>
                <c:formatCode>General</c:formatCode>
                <c:ptCount val="8"/>
                <c:pt idx="0">
                  <c:v>17</c:v>
                </c:pt>
                <c:pt idx="1">
                  <c:v>8</c:v>
                </c:pt>
                <c:pt idx="2">
                  <c:v>22</c:v>
                </c:pt>
                <c:pt idx="3">
                  <c:v>27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089461"/>
        <c:axId val="74318579"/>
      </c:lineChart>
      <c:catAx>
        <c:axId val="50089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18579"/>
        <c:crosses val="autoZero"/>
        <c:auto val="1"/>
        <c:lblAlgn val="ctr"/>
        <c:lblOffset val="100"/>
        <c:noMultiLvlLbl val="0"/>
      </c:catAx>
      <c:valAx>
        <c:axId val="74318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reclamações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89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de Reclamações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Dashboard!C39</c:f>
              <c:strCache>
                <c:ptCount val="1"/>
                <c:pt idx="0">
                  <c:v>Índice (nº / 2000)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numFmt formatCode="0.00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Dashboard!$B$40:$B$47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Dashboard!$C$40:$C$47</c:f>
              <c:numCache>
                <c:formatCode>0.0000</c:formatCode>
                <c:ptCount val="8"/>
                <c:pt idx="0">
                  <c:v>0.0085</c:v>
                </c:pt>
                <c:pt idx="1">
                  <c:v>0.004</c:v>
                </c:pt>
                <c:pt idx="2">
                  <c:v>0.011</c:v>
                </c:pt>
                <c:pt idx="3">
                  <c:v>0.0135</c:v>
                </c:pt>
                <c:pt idx="4">
                  <c:v>0.0095</c:v>
                </c:pt>
                <c:pt idx="5">
                  <c:v>0.01</c:v>
                </c:pt>
                <c:pt idx="6">
                  <c:v>0.011</c:v>
                </c:pt>
                <c:pt idx="7">
                  <c:v>0.0165</c:v>
                </c:pt>
              </c:numCache>
            </c:numRef>
          </c:val>
        </c:ser>
        <c:gapWidth val="60"/>
        <c:overlap val="0"/>
        <c:axId val="37720902"/>
        <c:axId val="48192103"/>
      </c:barChart>
      <c:catAx>
        <c:axId val="37720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92103"/>
        <c:crosses val="autoZero"/>
        <c:auto val="1"/>
        <c:lblAlgn val="ctr"/>
        <c:lblOffset val="100"/>
        <c:noMultiLvlLbl val="0"/>
      </c:catAx>
      <c:valAx>
        <c:axId val="48192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(nº / 2000)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20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Causas das Reclamações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Dashboard!C71</c:f>
              <c:strCache>
                <c:ptCount val="1"/>
                <c:pt idx="0">
                  <c:v>Atraso na entrega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Dashboard!$C$72:$C$79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</c:ser>
        <c:ser>
          <c:idx val="1"/>
          <c:order val="1"/>
          <c:tx>
            <c:strRef>
              <c:f>Dashboard!D71</c:f>
              <c:strCache>
                <c:ptCount val="1"/>
                <c:pt idx="0">
                  <c:v>Defeito de fabricacao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Dashboard!$D$72:$D$79</c:f>
              <c:numCache>
                <c:formatCode>General</c:formatCode>
                <c:ptCount val="8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14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16</c:v>
                </c:pt>
              </c:numCache>
            </c:numRef>
          </c:val>
        </c:ser>
        <c:ser>
          <c:idx val="2"/>
          <c:order val="2"/>
          <c:tx>
            <c:strRef>
              <c:f>Dashboard!E71</c:f>
              <c:strCache>
                <c:ptCount val="1"/>
                <c:pt idx="0">
                  <c:v>Divergencia de quantidade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Dashboard!$E$72:$E$79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3"/>
          <c:order val="3"/>
          <c:tx>
            <c:strRef>
              <c:f>Dashboard!F71</c:f>
              <c:strCache>
                <c:ptCount val="1"/>
                <c:pt idx="0">
                  <c:v>Embalagem avariada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Dashboard!$F$72:$F$79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</c:ser>
        <c:ser>
          <c:idx val="4"/>
          <c:order val="4"/>
          <c:tx>
            <c:strRef>
              <c:f>Dashboard!G71</c:f>
              <c:strCache>
                <c:ptCount val="1"/>
                <c:pt idx="0">
                  <c:v>Erro na nota fiscal</c:v>
                </c:pt>
              </c:strCache>
            </c:strRef>
          </c:tx>
          <c:spPr>
            <a:solidFill>
              <a:srgbClr val="8b5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Dashboard!$G$72:$G$79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</c:ser>
        <c:ser>
          <c:idx val="5"/>
          <c:order val="5"/>
          <c:tx>
            <c:strRef>
              <c:f>Dashboard!H71</c:f>
              <c:strCache>
                <c:ptCount val="1"/>
                <c:pt idx="0">
                  <c:v>Produto fora de especificacao</c:v>
                </c:pt>
              </c:strCache>
            </c:strRef>
          </c:tx>
          <c:spPr>
            <a:solidFill>
              <a:srgbClr val="06b6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Dashboard!$H$72:$H$79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Dashboard!I71</c:f>
              <c:strCache>
                <c:ptCount val="1"/>
                <c:pt idx="0">
                  <c:v>alguma ai</c:v>
                </c:pt>
              </c:strCache>
            </c:strRef>
          </c:tx>
          <c:spPr>
            <a:solidFill>
              <a:srgbClr val="ec489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Dashboard!$I$72:$I$79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ser>
          <c:idx val="7"/>
          <c:order val="7"/>
          <c:tx>
            <c:strRef>
              <c:f>Dashboard!J71</c:f>
              <c:strCache>
                <c:ptCount val="1"/>
                <c:pt idx="0">
                  <c:v>asdasd</c:v>
                </c:pt>
              </c:strCache>
            </c:strRef>
          </c:tx>
          <c:spPr>
            <a:solidFill>
              <a:srgbClr val="84cc1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Dashboard!$J$72:$J$79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60"/>
        <c:overlap val="100"/>
        <c:axId val="53955460"/>
        <c:axId val="40154151"/>
      </c:barChart>
      <c:lineChart>
        <c:grouping val="stacked"/>
        <c:varyColors val="0"/>
        <c:ser>
          <c:idx val="8"/>
          <c:order val="8"/>
          <c:tx>
            <c:strRef>
              <c:f>Dashboard!K71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Dashboard!$B$72:$B$79</c:f>
              <c:strCache>
                <c:ptCount val="8"/>
                <c:pt idx="0">
                  <c:v>Out/2025</c:v>
                </c:pt>
                <c:pt idx="1">
                  <c:v>Nov/2025</c:v>
                </c:pt>
                <c:pt idx="2">
                  <c:v>Abr/2026</c:v>
                </c:pt>
                <c:pt idx="3">
                  <c:v>Mai/2026</c:v>
                </c:pt>
                <c:pt idx="4">
                  <c:v>Jun/2026</c:v>
                </c:pt>
                <c:pt idx="5">
                  <c:v>Jul/2026</c:v>
                </c:pt>
                <c:pt idx="6">
                  <c:v>Ago/2026</c:v>
                </c:pt>
                <c:pt idx="7">
                  <c:v>Set/2026</c:v>
                </c:pt>
              </c:strCache>
            </c:strRef>
          </c:cat>
          <c:val>
            <c:numRef>
              <c:f>Dashboard!$K$72:$K$79</c:f>
              <c:numCache>
                <c:formatCode>General</c:formatCode>
                <c:ptCount val="8"/>
                <c:pt idx="0">
                  <c:v>17</c:v>
                </c:pt>
                <c:pt idx="1">
                  <c:v>8</c:v>
                </c:pt>
                <c:pt idx="2">
                  <c:v>22</c:v>
                </c:pt>
                <c:pt idx="3">
                  <c:v>27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955460"/>
        <c:axId val="40154151"/>
      </c:lineChart>
      <c:catAx>
        <c:axId val="53955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4151"/>
        <c:crosses val="autoZero"/>
        <c:auto val="1"/>
        <c:lblAlgn val="ctr"/>
        <c:lblOffset val="100"/>
        <c:noMultiLvlLbl val="0"/>
      </c:catAx>
      <c:valAx>
        <c:axId val="40154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ocorrências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554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Pareto — Causas das Reclamações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Dashboard!C107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Dashboard!$B$108:$B$115</c:f>
              <c:strCache>
                <c:ptCount val="8"/>
                <c:pt idx="0">
                  <c:v>Defeito de fabricacao</c:v>
                </c:pt>
                <c:pt idx="1">
                  <c:v>Atraso na entrega</c:v>
                </c:pt>
                <c:pt idx="2">
                  <c:v>Divergencia de quantidade</c:v>
                </c:pt>
                <c:pt idx="3">
                  <c:v>Embalagem avariada</c:v>
                </c:pt>
                <c:pt idx="4">
                  <c:v>Erro na nota fiscal</c:v>
                </c:pt>
                <c:pt idx="5">
                  <c:v>Produto fora de especificacao</c:v>
                </c:pt>
                <c:pt idx="6">
                  <c:v>alguma ai</c:v>
                </c:pt>
                <c:pt idx="7">
                  <c:v>asdasd</c:v>
                </c:pt>
              </c:strCache>
            </c:strRef>
          </c:cat>
          <c:val>
            <c:numRef>
              <c:f>Dashboard!$C$108:$C$115</c:f>
              <c:numCache>
                <c:formatCode>General</c:formatCode>
                <c:ptCount val="8"/>
                <c:pt idx="0">
                  <c:v>72</c:v>
                </c:pt>
                <c:pt idx="1">
                  <c:v>38</c:v>
                </c:pt>
                <c:pt idx="2">
                  <c:v>19</c:v>
                </c:pt>
                <c:pt idx="3">
                  <c:v>17</c:v>
                </c:pt>
                <c:pt idx="4">
                  <c:v>15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40"/>
        <c:overlap val="0"/>
        <c:axId val="72584510"/>
        <c:axId val="48763123"/>
      </c:barChart>
      <c:lineChart>
        <c:grouping val="standard"/>
        <c:varyColors val="0"/>
        <c:ser>
          <c:idx val="1"/>
          <c:order val="1"/>
          <c:tx>
            <c:strRef>
              <c:f>Dashboard!F107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dc2626"/>
            </a:solidFill>
            <a:ln w="25920">
              <a:solidFill>
                <a:srgbClr val="dc2626"/>
              </a:solidFill>
              <a:round/>
            </a:ln>
          </c:spPr>
          <c:marker>
            <c:symbol val="diamond"/>
            <c:size val="7"/>
            <c:spPr>
              <a:solidFill>
                <a:srgbClr val="dc2626"/>
              </a:solidFill>
            </c:spPr>
          </c:marker>
          <c:dLbls>
            <c:numFmt formatCode="0\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Dashboard!$B$108:$B$115</c:f>
              <c:strCache>
                <c:ptCount val="8"/>
                <c:pt idx="0">
                  <c:v>Defeito de fabricacao</c:v>
                </c:pt>
                <c:pt idx="1">
                  <c:v>Atraso na entrega</c:v>
                </c:pt>
                <c:pt idx="2">
                  <c:v>Divergencia de quantidade</c:v>
                </c:pt>
                <c:pt idx="3">
                  <c:v>Embalagem avariada</c:v>
                </c:pt>
                <c:pt idx="4">
                  <c:v>Erro na nota fiscal</c:v>
                </c:pt>
                <c:pt idx="5">
                  <c:v>Produto fora de especificacao</c:v>
                </c:pt>
                <c:pt idx="6">
                  <c:v>alguma ai</c:v>
                </c:pt>
                <c:pt idx="7">
                  <c:v>asdasd</c:v>
                </c:pt>
              </c:strCache>
            </c:strRef>
          </c:cat>
          <c:val>
            <c:numRef>
              <c:f>Dashboard!$F$108:$F$115</c:f>
              <c:numCache>
                <c:formatCode>0.00\%</c:formatCode>
                <c:ptCount val="8"/>
                <c:pt idx="0">
                  <c:v>42.8571428571429</c:v>
                </c:pt>
                <c:pt idx="1">
                  <c:v>65.4761904761905</c:v>
                </c:pt>
                <c:pt idx="2">
                  <c:v>76.7857142857143</c:v>
                </c:pt>
                <c:pt idx="3">
                  <c:v>86.9047619047619</c:v>
                </c:pt>
                <c:pt idx="4">
                  <c:v>95.8333333333333</c:v>
                </c:pt>
                <c:pt idx="5">
                  <c:v>98.8095238095238</c:v>
                </c:pt>
                <c:pt idx="6">
                  <c:v>99.4047619047619</c:v>
                </c:pt>
                <c:pt idx="7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112214"/>
        <c:axId val="15512175"/>
      </c:lineChart>
      <c:catAx>
        <c:axId val="725845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3123"/>
        <c:crosses val="autoZero"/>
        <c:auto val="1"/>
        <c:lblAlgn val="ctr"/>
        <c:lblOffset val="100"/>
        <c:noMultiLvlLbl val="0"/>
      </c:catAx>
      <c:valAx>
        <c:axId val="487631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Frequência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84510"/>
        <c:crosses val="autoZero"/>
        <c:crossBetween val="between"/>
      </c:valAx>
      <c:catAx>
        <c:axId val="4511221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12175"/>
        <c:crosses val="autoZero"/>
        <c:auto val="1"/>
        <c:lblAlgn val="ctr"/>
        <c:lblOffset val="100"/>
        <c:noMultiLvlLbl val="0"/>
      </c:catAx>
      <c:valAx>
        <c:axId val="15512175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1221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 RDCs por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Dashboard!C142</c:f>
              <c:strCache>
                <c:ptCount val="1"/>
                <c:pt idx="0">
                  <c:v>Total de RDCs</c:v>
                </c:pt>
              </c:strCache>
            </c:strRef>
          </c:tx>
          <c:spPr>
            <a:solidFill>
              <a:srgbClr val="0086d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Dashboard!$B$143:$B$146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Dashboard!$C$143:$C$146</c:f>
              <c:numCache>
                <c:formatCode>General</c:formatCode>
                <c:ptCount val="4"/>
                <c:pt idx="0">
                  <c:v>80</c:v>
                </c:pt>
                <c:pt idx="1">
                  <c:v>112</c:v>
                </c:pt>
                <c:pt idx="2">
                  <c:v>158</c:v>
                </c:pt>
                <c:pt idx="3">
                  <c:v>228</c:v>
                </c:pt>
              </c:numCache>
            </c:numRef>
          </c:val>
        </c:ser>
        <c:gapWidth val="60"/>
        <c:overlap val="0"/>
        <c:axId val="4151179"/>
        <c:axId val="83915859"/>
      </c:barChart>
      <c:catAx>
        <c:axId val="4151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15859"/>
        <c:crosses val="autoZero"/>
        <c:auto val="1"/>
        <c:lblAlgn val="ctr"/>
        <c:lblOffset val="100"/>
        <c:noMultiLvlLbl val="0"/>
      </c:catAx>
      <c:valAx>
        <c:axId val="83915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de RDCs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1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8</xdr:col>
      <xdr:colOff>150840</xdr:colOff>
      <xdr:row>34</xdr:row>
      <xdr:rowOff>181080</xdr:rowOff>
    </xdr:to>
    <xdr:graphicFrame>
      <xdr:nvGraphicFramePr>
        <xdr:cNvPr id="0" name="Chart 1"/>
        <xdr:cNvGraphicFramePr/>
      </xdr:nvGraphicFramePr>
      <xdr:xfrm>
        <a:off x="176400" y="3676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8</xdr:col>
      <xdr:colOff>150840</xdr:colOff>
      <xdr:row>66</xdr:row>
      <xdr:rowOff>181440</xdr:rowOff>
    </xdr:to>
    <xdr:graphicFrame>
      <xdr:nvGraphicFramePr>
        <xdr:cNvPr id="1" name="Chart 2"/>
        <xdr:cNvGraphicFramePr/>
      </xdr:nvGraphicFramePr>
      <xdr:xfrm>
        <a:off x="176400" y="1004904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82</xdr:row>
      <xdr:rowOff>0</xdr:rowOff>
    </xdr:from>
    <xdr:to>
      <xdr:col>9</xdr:col>
      <xdr:colOff>674640</xdr:colOff>
      <xdr:row>104</xdr:row>
      <xdr:rowOff>128520</xdr:rowOff>
    </xdr:to>
    <xdr:graphicFrame>
      <xdr:nvGraphicFramePr>
        <xdr:cNvPr id="2" name="Chart 3"/>
        <xdr:cNvGraphicFramePr/>
      </xdr:nvGraphicFramePr>
      <xdr:xfrm>
        <a:off x="176400" y="166114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117</xdr:row>
      <xdr:rowOff>0</xdr:rowOff>
    </xdr:from>
    <xdr:to>
      <xdr:col>9</xdr:col>
      <xdr:colOff>674640</xdr:colOff>
      <xdr:row>137</xdr:row>
      <xdr:rowOff>149760</xdr:rowOff>
    </xdr:to>
    <xdr:graphicFrame>
      <xdr:nvGraphicFramePr>
        <xdr:cNvPr id="3" name="Chart 4"/>
        <xdr:cNvGraphicFramePr/>
      </xdr:nvGraphicFramePr>
      <xdr:xfrm>
        <a:off x="176400" y="246222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148</xdr:row>
      <xdr:rowOff>0</xdr:rowOff>
    </xdr:from>
    <xdr:to>
      <xdr:col>8</xdr:col>
      <xdr:colOff>150840</xdr:colOff>
      <xdr:row>165</xdr:row>
      <xdr:rowOff>181080</xdr:rowOff>
    </xdr:to>
    <xdr:graphicFrame>
      <xdr:nvGraphicFramePr>
        <xdr:cNvPr id="4" name="Chart 5"/>
        <xdr:cNvGraphicFramePr/>
      </xdr:nvGraphicFramePr>
      <xdr:xfrm>
        <a:off x="176400" y="308037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1428480</xdr:colOff>
      <xdr:row>3</xdr:row>
      <xdr:rowOff>85320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76400" y="0"/>
          <a:ext cx="1428480" cy="885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1428480</xdr:colOff>
      <xdr:row>3</xdr:row>
      <xdr:rowOff>85320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76400" y="0"/>
          <a:ext cx="1428480" cy="88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12" min="3" style="0" width="13"/>
    <col collapsed="false" customWidth="true" hidden="false" outlineLevel="0" max="13" min="13" style="0" width="3"/>
  </cols>
  <sheetData>
    <row r="1" customFormat="false" ht="19.5" hidden="false" customHeight="true" outlineLevel="0" collapsed="false">
      <c r="D1" s="1" t="s">
        <v>0</v>
      </c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D3" s="2" t="s">
        <v>1</v>
      </c>
      <c r="E3" s="2"/>
      <c r="F3" s="2"/>
      <c r="G3" s="2"/>
      <c r="H3" s="2"/>
      <c r="I3" s="2"/>
      <c r="J3" s="2"/>
      <c r="K3" s="2"/>
      <c r="L3" s="2"/>
    </row>
    <row r="4" customFormat="false" ht="9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21.75" hidden="false" customHeight="true" outlineLevel="0" collapsed="false">
      <c r="B6" s="4" t="s">
        <v>2</v>
      </c>
      <c r="C6" s="4"/>
      <c r="D6" s="4"/>
      <c r="E6" s="4"/>
    </row>
    <row r="7" customFormat="false" ht="30" hidden="false" customHeight="true" outlineLevel="0" collapsed="false">
      <c r="B7" s="5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7" t="n">
        <v>17</v>
      </c>
    </row>
    <row r="9" customFormat="false" ht="15" hidden="false" customHeight="false" outlineLevel="0" collapsed="false">
      <c r="B9" s="8" t="s">
        <v>6</v>
      </c>
      <c r="C9" s="9" t="n">
        <v>8</v>
      </c>
    </row>
    <row r="10" customFormat="false" ht="15" hidden="false" customHeight="false" outlineLevel="0" collapsed="false">
      <c r="B10" s="6" t="s">
        <v>7</v>
      </c>
      <c r="C10" s="7" t="n">
        <v>22</v>
      </c>
    </row>
    <row r="11" customFormat="false" ht="15" hidden="false" customHeight="false" outlineLevel="0" collapsed="false">
      <c r="B11" s="8" t="s">
        <v>8</v>
      </c>
      <c r="C11" s="9" t="n">
        <v>27</v>
      </c>
    </row>
    <row r="12" customFormat="false" ht="15" hidden="false" customHeight="false" outlineLevel="0" collapsed="false">
      <c r="B12" s="6" t="s">
        <v>9</v>
      </c>
      <c r="C12" s="7" t="n">
        <v>19</v>
      </c>
    </row>
    <row r="13" customFormat="false" ht="15" hidden="false" customHeight="false" outlineLevel="0" collapsed="false">
      <c r="B13" s="8" t="s">
        <v>10</v>
      </c>
      <c r="C13" s="9" t="n">
        <v>20</v>
      </c>
    </row>
    <row r="14" customFormat="false" ht="15" hidden="false" customHeight="false" outlineLevel="0" collapsed="false">
      <c r="B14" s="6" t="s">
        <v>11</v>
      </c>
      <c r="C14" s="7" t="n">
        <v>22</v>
      </c>
    </row>
    <row r="15" customFormat="false" ht="15" hidden="false" customHeight="false" outlineLevel="0" collapsed="false">
      <c r="B15" s="8" t="s">
        <v>12</v>
      </c>
      <c r="C15" s="9" t="n">
        <v>33</v>
      </c>
    </row>
    <row r="16" customFormat="false" ht="15" hidden="false" customHeight="false" outlineLevel="0" collapsed="false">
      <c r="B16" s="10" t="s">
        <v>13</v>
      </c>
      <c r="C16" s="11" t="n">
        <f aca="false">SUM(C8:C15)</f>
        <v>168</v>
      </c>
    </row>
    <row r="38" customFormat="false" ht="21.75" hidden="false" customHeight="true" outlineLevel="0" collapsed="false">
      <c r="B38" s="4" t="s">
        <v>14</v>
      </c>
      <c r="C38" s="4"/>
      <c r="D38" s="4"/>
      <c r="E38" s="4"/>
    </row>
    <row r="39" customFormat="false" ht="30" hidden="false" customHeight="true" outlineLevel="0" collapsed="false">
      <c r="B39" s="5" t="s">
        <v>3</v>
      </c>
      <c r="C39" s="5" t="s">
        <v>15</v>
      </c>
    </row>
    <row r="40" customFormat="false" ht="15" hidden="false" customHeight="false" outlineLevel="0" collapsed="false">
      <c r="B40" s="6" t="s">
        <v>5</v>
      </c>
      <c r="C40" s="12" t="n">
        <v>0.0085</v>
      </c>
    </row>
    <row r="41" customFormat="false" ht="15" hidden="false" customHeight="false" outlineLevel="0" collapsed="false">
      <c r="B41" s="8" t="s">
        <v>6</v>
      </c>
      <c r="C41" s="13" t="n">
        <v>0.004</v>
      </c>
    </row>
    <row r="42" customFormat="false" ht="15" hidden="false" customHeight="false" outlineLevel="0" collapsed="false">
      <c r="B42" s="6" t="s">
        <v>7</v>
      </c>
      <c r="C42" s="12" t="n">
        <v>0.011</v>
      </c>
    </row>
    <row r="43" customFormat="false" ht="15" hidden="false" customHeight="false" outlineLevel="0" collapsed="false">
      <c r="B43" s="8" t="s">
        <v>8</v>
      </c>
      <c r="C43" s="13" t="n">
        <v>0.0135</v>
      </c>
    </row>
    <row r="44" customFormat="false" ht="15" hidden="false" customHeight="false" outlineLevel="0" collapsed="false">
      <c r="B44" s="6" t="s">
        <v>9</v>
      </c>
      <c r="C44" s="12" t="n">
        <v>0.0095</v>
      </c>
    </row>
    <row r="45" customFormat="false" ht="15" hidden="false" customHeight="false" outlineLevel="0" collapsed="false">
      <c r="B45" s="8" t="s">
        <v>10</v>
      </c>
      <c r="C45" s="13" t="n">
        <v>0.01</v>
      </c>
    </row>
    <row r="46" customFormat="false" ht="15" hidden="false" customHeight="false" outlineLevel="0" collapsed="false">
      <c r="B46" s="6" t="s">
        <v>11</v>
      </c>
      <c r="C46" s="12" t="n">
        <v>0.011</v>
      </c>
    </row>
    <row r="47" customFormat="false" ht="15" hidden="false" customHeight="false" outlineLevel="0" collapsed="false">
      <c r="B47" s="8" t="s">
        <v>12</v>
      </c>
      <c r="C47" s="13" t="n">
        <v>0.0165</v>
      </c>
    </row>
    <row r="48" customFormat="false" ht="15" hidden="false" customHeight="false" outlineLevel="0" collapsed="false">
      <c r="B48" s="10" t="s">
        <v>16</v>
      </c>
      <c r="C48" s="14" t="n">
        <f aca="false">AVERAGE(C40:C47)</f>
        <v>0.0105</v>
      </c>
    </row>
    <row r="70" customFormat="false" ht="21.75" hidden="false" customHeight="true" outlineLevel="0" collapsed="false">
      <c r="B70" s="4" t="s">
        <v>17</v>
      </c>
      <c r="C70" s="4"/>
      <c r="D70" s="4"/>
      <c r="E70" s="4"/>
      <c r="F70" s="4"/>
      <c r="G70" s="4"/>
      <c r="H70" s="4"/>
      <c r="I70" s="4"/>
      <c r="J70" s="4"/>
      <c r="K70" s="4"/>
    </row>
    <row r="71" customFormat="false" ht="30" hidden="false" customHeight="true" outlineLevel="0" collapsed="false">
      <c r="B71" s="5" t="s">
        <v>18</v>
      </c>
      <c r="C71" s="5" t="s">
        <v>19</v>
      </c>
      <c r="D71" s="5" t="s">
        <v>20</v>
      </c>
      <c r="E71" s="5" t="s">
        <v>21</v>
      </c>
      <c r="F71" s="5" t="s">
        <v>22</v>
      </c>
      <c r="G71" s="5" t="s">
        <v>23</v>
      </c>
      <c r="H71" s="5" t="s">
        <v>24</v>
      </c>
      <c r="I71" s="5" t="s">
        <v>25</v>
      </c>
      <c r="J71" s="5" t="s">
        <v>26</v>
      </c>
      <c r="K71" s="5" t="s">
        <v>13</v>
      </c>
    </row>
    <row r="72" customFormat="false" ht="15" hidden="false" customHeight="false" outlineLevel="0" collapsed="false">
      <c r="B72" s="6" t="s">
        <v>5</v>
      </c>
      <c r="C72" s="7" t="n">
        <v>2</v>
      </c>
      <c r="D72" s="7" t="n">
        <v>10</v>
      </c>
      <c r="E72" s="7" t="n">
        <v>3</v>
      </c>
      <c r="F72" s="7" t="n">
        <v>2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f aca="false">SUM(C72:J72)</f>
        <v>17</v>
      </c>
    </row>
    <row r="73" customFormat="false" ht="15" hidden="false" customHeight="false" outlineLevel="0" collapsed="false">
      <c r="B73" s="8" t="s">
        <v>6</v>
      </c>
      <c r="C73" s="9" t="n">
        <v>1</v>
      </c>
      <c r="D73" s="9" t="n">
        <v>4</v>
      </c>
      <c r="E73" s="9" t="n">
        <v>2</v>
      </c>
      <c r="F73" s="9" t="n">
        <v>1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f aca="false">SUM(C73:J73)</f>
        <v>8</v>
      </c>
    </row>
    <row r="74" customFormat="false" ht="15" hidden="false" customHeight="false" outlineLevel="0" collapsed="false">
      <c r="B74" s="6" t="s">
        <v>7</v>
      </c>
      <c r="C74" s="7" t="n">
        <v>9</v>
      </c>
      <c r="D74" s="7" t="n">
        <v>5</v>
      </c>
      <c r="E74" s="7" t="n">
        <v>5</v>
      </c>
      <c r="F74" s="7" t="n">
        <v>1</v>
      </c>
      <c r="G74" s="7" t="n">
        <v>2</v>
      </c>
      <c r="H74" s="7" t="n">
        <v>0</v>
      </c>
      <c r="I74" s="7" t="n">
        <v>0</v>
      </c>
      <c r="J74" s="7" t="n">
        <v>0</v>
      </c>
      <c r="K74" s="7" t="n">
        <f aca="false">SUM(C74:J74)</f>
        <v>22</v>
      </c>
    </row>
    <row r="75" customFormat="false" ht="15" hidden="false" customHeight="false" outlineLevel="0" collapsed="false">
      <c r="B75" s="8" t="s">
        <v>8</v>
      </c>
      <c r="C75" s="9" t="n">
        <v>8</v>
      </c>
      <c r="D75" s="9" t="n">
        <v>14</v>
      </c>
      <c r="E75" s="9" t="n">
        <v>3</v>
      </c>
      <c r="F75" s="9" t="n">
        <v>0</v>
      </c>
      <c r="G75" s="9" t="n">
        <v>0</v>
      </c>
      <c r="H75" s="9" t="n">
        <v>2</v>
      </c>
      <c r="I75" s="9" t="n">
        <v>0</v>
      </c>
      <c r="J75" s="9" t="n">
        <v>0</v>
      </c>
      <c r="K75" s="9" t="n">
        <f aca="false">SUM(C75:J75)</f>
        <v>27</v>
      </c>
    </row>
    <row r="76" customFormat="false" ht="15" hidden="false" customHeight="false" outlineLevel="0" collapsed="false">
      <c r="B76" s="6" t="s">
        <v>9</v>
      </c>
      <c r="C76" s="7" t="n">
        <v>5</v>
      </c>
      <c r="D76" s="7" t="n">
        <v>7</v>
      </c>
      <c r="E76" s="7" t="n">
        <v>3</v>
      </c>
      <c r="F76" s="7" t="n">
        <v>3</v>
      </c>
      <c r="G76" s="7" t="n">
        <v>1</v>
      </c>
      <c r="H76" s="7" t="n">
        <v>0</v>
      </c>
      <c r="I76" s="7" t="n">
        <v>0</v>
      </c>
      <c r="J76" s="7" t="n">
        <v>0</v>
      </c>
      <c r="K76" s="7" t="n">
        <f aca="false">SUM(C76:J76)</f>
        <v>19</v>
      </c>
    </row>
    <row r="77" customFormat="false" ht="15" hidden="false" customHeight="false" outlineLevel="0" collapsed="false">
      <c r="B77" s="8" t="s">
        <v>10</v>
      </c>
      <c r="C77" s="9" t="n">
        <v>4</v>
      </c>
      <c r="D77" s="9" t="n">
        <v>7</v>
      </c>
      <c r="E77" s="9" t="n">
        <v>1</v>
      </c>
      <c r="F77" s="9" t="n">
        <v>2</v>
      </c>
      <c r="G77" s="9" t="n">
        <v>6</v>
      </c>
      <c r="H77" s="9" t="n">
        <v>0</v>
      </c>
      <c r="I77" s="9" t="n">
        <v>0</v>
      </c>
      <c r="J77" s="9" t="n">
        <v>0</v>
      </c>
      <c r="K77" s="9" t="n">
        <f aca="false">SUM(C77:J77)</f>
        <v>20</v>
      </c>
    </row>
    <row r="78" customFormat="false" ht="15" hidden="false" customHeight="false" outlineLevel="0" collapsed="false">
      <c r="B78" s="6" t="s">
        <v>11</v>
      </c>
      <c r="C78" s="7" t="n">
        <v>4</v>
      </c>
      <c r="D78" s="7" t="n">
        <v>9</v>
      </c>
      <c r="E78" s="7" t="n">
        <v>1</v>
      </c>
      <c r="F78" s="7" t="n">
        <v>3</v>
      </c>
      <c r="G78" s="7" t="n">
        <v>2</v>
      </c>
      <c r="H78" s="7" t="n">
        <v>3</v>
      </c>
      <c r="I78" s="7" t="n">
        <v>0</v>
      </c>
      <c r="J78" s="7" t="n">
        <v>0</v>
      </c>
      <c r="K78" s="7" t="n">
        <f aca="false">SUM(C78:J78)</f>
        <v>22</v>
      </c>
    </row>
    <row r="79" customFormat="false" ht="15" hidden="false" customHeight="false" outlineLevel="0" collapsed="false">
      <c r="B79" s="8" t="s">
        <v>12</v>
      </c>
      <c r="C79" s="9" t="n">
        <v>5</v>
      </c>
      <c r="D79" s="9" t="n">
        <v>16</v>
      </c>
      <c r="E79" s="9" t="n">
        <v>1</v>
      </c>
      <c r="F79" s="9" t="n">
        <v>5</v>
      </c>
      <c r="G79" s="9" t="n">
        <v>4</v>
      </c>
      <c r="H79" s="9" t="n">
        <v>0</v>
      </c>
      <c r="I79" s="9" t="n">
        <v>1</v>
      </c>
      <c r="J79" s="9" t="n">
        <v>1</v>
      </c>
      <c r="K79" s="9" t="n">
        <f aca="false">SUM(C79:J79)</f>
        <v>33</v>
      </c>
    </row>
    <row r="80" customFormat="false" ht="15" hidden="false" customHeight="false" outlineLevel="0" collapsed="false">
      <c r="B80" s="10" t="s">
        <v>13</v>
      </c>
      <c r="C80" s="11" t="n">
        <f aca="false">SUM(C72:C79)</f>
        <v>38</v>
      </c>
      <c r="D80" s="11" t="n">
        <f aca="false">SUM(D72:D79)</f>
        <v>72</v>
      </c>
      <c r="E80" s="11" t="n">
        <f aca="false">SUM(E72:E79)</f>
        <v>19</v>
      </c>
      <c r="F80" s="11" t="n">
        <f aca="false">SUM(F72:F79)</f>
        <v>17</v>
      </c>
      <c r="G80" s="11" t="n">
        <f aca="false">SUM(G72:G79)</f>
        <v>15</v>
      </c>
      <c r="H80" s="11" t="n">
        <f aca="false">SUM(H72:H79)</f>
        <v>5</v>
      </c>
      <c r="I80" s="11" t="n">
        <f aca="false">SUM(I72:I79)</f>
        <v>1</v>
      </c>
      <c r="J80" s="11" t="n">
        <f aca="false">SUM(J72:J79)</f>
        <v>1</v>
      </c>
      <c r="K80" s="11" t="n">
        <f aca="false">SUM(K72:K79)</f>
        <v>168</v>
      </c>
    </row>
    <row r="82" customFormat="false" ht="15" hidden="false" customHeight="false" outlineLevel="0" collapsed="false">
      <c r="B82" s="15" t="s">
        <v>27</v>
      </c>
    </row>
    <row r="106" customFormat="false" ht="21.75" hidden="false" customHeight="true" outlineLevel="0" collapsed="false">
      <c r="B106" s="4" t="s">
        <v>28</v>
      </c>
      <c r="C106" s="4"/>
      <c r="D106" s="4"/>
      <c r="E106" s="4"/>
      <c r="F106" s="4"/>
    </row>
    <row r="107" customFormat="false" ht="30" hidden="false" customHeight="true" outlineLevel="0" collapsed="false">
      <c r="B107" s="5" t="s">
        <v>29</v>
      </c>
      <c r="C107" s="5" t="s">
        <v>30</v>
      </c>
      <c r="D107" s="5" t="s">
        <v>31</v>
      </c>
      <c r="E107" s="5" t="s">
        <v>32</v>
      </c>
      <c r="F107" s="5" t="s">
        <v>33</v>
      </c>
    </row>
    <row r="108" customFormat="false" ht="25.5" hidden="false" customHeight="true" outlineLevel="0" collapsed="false">
      <c r="B108" s="16" t="s">
        <v>20</v>
      </c>
      <c r="C108" s="7" t="n">
        <v>72</v>
      </c>
      <c r="D108" s="7" t="n">
        <f aca="false">C108</f>
        <v>72</v>
      </c>
      <c r="E108" s="17" t="n">
        <f aca="false">C108/SUM($C$108:$C$115)*100</f>
        <v>42.8571428571429</v>
      </c>
      <c r="F108" s="17" t="n">
        <f aca="false">D108/SUM($C$108:$C$115)*100</f>
        <v>42.8571428571429</v>
      </c>
    </row>
    <row r="109" customFormat="false" ht="25.5" hidden="false" customHeight="true" outlineLevel="0" collapsed="false">
      <c r="B109" s="18" t="s">
        <v>19</v>
      </c>
      <c r="C109" s="9" t="n">
        <v>38</v>
      </c>
      <c r="D109" s="9" t="n">
        <f aca="false">D108+C109</f>
        <v>110</v>
      </c>
      <c r="E109" s="19" t="n">
        <f aca="false">C109/SUM($C$108:$C$115)*100</f>
        <v>22.6190476190476</v>
      </c>
      <c r="F109" s="19" t="n">
        <f aca="false">D109/SUM($C$108:$C$115)*100</f>
        <v>65.4761904761905</v>
      </c>
    </row>
    <row r="110" customFormat="false" ht="25.5" hidden="false" customHeight="true" outlineLevel="0" collapsed="false">
      <c r="B110" s="16" t="s">
        <v>21</v>
      </c>
      <c r="C110" s="7" t="n">
        <v>19</v>
      </c>
      <c r="D110" s="7" t="n">
        <f aca="false">D109+C110</f>
        <v>129</v>
      </c>
      <c r="E110" s="17" t="n">
        <f aca="false">C110/SUM($C$108:$C$115)*100</f>
        <v>11.3095238095238</v>
      </c>
      <c r="F110" s="17" t="n">
        <f aca="false">D110/SUM($C$108:$C$115)*100</f>
        <v>76.7857142857143</v>
      </c>
    </row>
    <row r="111" customFormat="false" ht="25.5" hidden="false" customHeight="true" outlineLevel="0" collapsed="false">
      <c r="B111" s="18" t="s">
        <v>22</v>
      </c>
      <c r="C111" s="9" t="n">
        <v>17</v>
      </c>
      <c r="D111" s="9" t="n">
        <f aca="false">D110+C111</f>
        <v>146</v>
      </c>
      <c r="E111" s="19" t="n">
        <f aca="false">C111/SUM($C$108:$C$115)*100</f>
        <v>10.1190476190476</v>
      </c>
      <c r="F111" s="19" t="n">
        <f aca="false">D111/SUM($C$108:$C$115)*100</f>
        <v>86.9047619047619</v>
      </c>
    </row>
    <row r="112" customFormat="false" ht="25.5" hidden="false" customHeight="true" outlineLevel="0" collapsed="false">
      <c r="B112" s="16" t="s">
        <v>23</v>
      </c>
      <c r="C112" s="7" t="n">
        <v>15</v>
      </c>
      <c r="D112" s="7" t="n">
        <f aca="false">D111+C112</f>
        <v>161</v>
      </c>
      <c r="E112" s="17" t="n">
        <f aca="false">C112/SUM($C$108:$C$115)*100</f>
        <v>8.92857142857143</v>
      </c>
      <c r="F112" s="17" t="n">
        <f aca="false">D112/SUM($C$108:$C$115)*100</f>
        <v>95.8333333333333</v>
      </c>
    </row>
    <row r="113" customFormat="false" ht="25.5" hidden="false" customHeight="true" outlineLevel="0" collapsed="false">
      <c r="B113" s="18" t="s">
        <v>24</v>
      </c>
      <c r="C113" s="9" t="n">
        <v>5</v>
      </c>
      <c r="D113" s="9" t="n">
        <f aca="false">D112+C113</f>
        <v>166</v>
      </c>
      <c r="E113" s="19" t="n">
        <f aca="false">C113/SUM($C$108:$C$115)*100</f>
        <v>2.97619047619048</v>
      </c>
      <c r="F113" s="19" t="n">
        <f aca="false">D113/SUM($C$108:$C$115)*100</f>
        <v>98.8095238095238</v>
      </c>
    </row>
    <row r="114" customFormat="false" ht="25.5" hidden="false" customHeight="true" outlineLevel="0" collapsed="false">
      <c r="B114" s="16" t="s">
        <v>25</v>
      </c>
      <c r="C114" s="7" t="n">
        <v>1</v>
      </c>
      <c r="D114" s="7" t="n">
        <f aca="false">D113+C114</f>
        <v>167</v>
      </c>
      <c r="E114" s="17" t="n">
        <f aca="false">C114/SUM($C$108:$C$115)*100</f>
        <v>0.595238095238095</v>
      </c>
      <c r="F114" s="17" t="n">
        <f aca="false">D114/SUM($C$108:$C$115)*100</f>
        <v>99.4047619047619</v>
      </c>
    </row>
    <row r="115" customFormat="false" ht="25.5" hidden="false" customHeight="true" outlineLevel="0" collapsed="false">
      <c r="B115" s="18" t="s">
        <v>26</v>
      </c>
      <c r="C115" s="9" t="n">
        <v>1</v>
      </c>
      <c r="D115" s="9" t="n">
        <f aca="false">D114+C115</f>
        <v>168</v>
      </c>
      <c r="E115" s="19" t="n">
        <f aca="false">C115/SUM($C$108:$C$115)*100</f>
        <v>0.595238095238095</v>
      </c>
      <c r="F115" s="19" t="n">
        <f aca="false">D115/SUM($C$108:$C$115)*100</f>
        <v>100</v>
      </c>
    </row>
    <row r="116" customFormat="false" ht="15" hidden="false" customHeight="false" outlineLevel="0" collapsed="false">
      <c r="B116" s="10" t="s">
        <v>13</v>
      </c>
      <c r="C116" s="11" t="n">
        <f aca="false">SUM(C108:C115)</f>
        <v>168</v>
      </c>
      <c r="D116" s="11"/>
      <c r="E116" s="11"/>
      <c r="F116" s="11"/>
    </row>
    <row r="141" customFormat="false" ht="21.75" hidden="false" customHeight="true" outlineLevel="0" collapsed="false">
      <c r="B141" s="4" t="s">
        <v>34</v>
      </c>
      <c r="C141" s="4"/>
      <c r="D141" s="4"/>
      <c r="E141" s="4"/>
    </row>
    <row r="142" customFormat="false" ht="30" hidden="false" customHeight="true" outlineLevel="0" collapsed="false">
      <c r="B142" s="5" t="s">
        <v>3</v>
      </c>
      <c r="C142" s="5" t="s">
        <v>35</v>
      </c>
    </row>
    <row r="143" customFormat="false" ht="15" hidden="false" customHeight="false" outlineLevel="0" collapsed="false">
      <c r="B143" s="8" t="s">
        <v>36</v>
      </c>
      <c r="C143" s="9" t="n">
        <v>80</v>
      </c>
    </row>
    <row r="144" customFormat="false" ht="15" hidden="false" customHeight="false" outlineLevel="0" collapsed="false">
      <c r="B144" s="6" t="s">
        <v>37</v>
      </c>
      <c r="C144" s="7" t="n">
        <v>112</v>
      </c>
    </row>
    <row r="145" customFormat="false" ht="15" hidden="false" customHeight="false" outlineLevel="0" collapsed="false">
      <c r="B145" s="8" t="s">
        <v>38</v>
      </c>
      <c r="C145" s="9" t="n">
        <v>158</v>
      </c>
    </row>
    <row r="146" customFormat="false" ht="15" hidden="false" customHeight="false" outlineLevel="0" collapsed="false">
      <c r="B146" s="6" t="s">
        <v>39</v>
      </c>
      <c r="C146" s="7" t="n">
        <v>228</v>
      </c>
    </row>
    <row r="147" customFormat="false" ht="15" hidden="false" customHeight="false" outlineLevel="0" collapsed="false">
      <c r="B147" s="10" t="s">
        <v>13</v>
      </c>
      <c r="C147" s="11" t="n">
        <f aca="false">SUM(C143:C146)</f>
        <v>578</v>
      </c>
    </row>
    <row r="169" customFormat="false" ht="15" hidden="false" customHeight="false" outlineLevel="0" collapsed="false">
      <c r="B169" s="20" t="s">
        <v>40</v>
      </c>
      <c r="C169" s="20"/>
      <c r="D169" s="20"/>
      <c r="E169" s="20"/>
      <c r="F169" s="20"/>
    </row>
  </sheetData>
  <mergeCells count="8">
    <mergeCell ref="D1:L2"/>
    <mergeCell ref="D3:L3"/>
    <mergeCell ref="B6:E6"/>
    <mergeCell ref="B38:E38"/>
    <mergeCell ref="B70:K70"/>
    <mergeCell ref="B106:F106"/>
    <mergeCell ref="B141:E141"/>
    <mergeCell ref="B169:F16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12" min="3" style="0" width="13"/>
    <col collapsed="false" customWidth="true" hidden="false" outlineLevel="0" max="13" min="13" style="0" width="3"/>
  </cols>
  <sheetData>
    <row r="1" customFormat="false" ht="19.5" hidden="false" customHeight="true" outlineLevel="0" collapsed="false">
      <c r="D1" s="1" t="s">
        <v>0</v>
      </c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D3" s="2" t="s">
        <v>41</v>
      </c>
      <c r="E3" s="2"/>
      <c r="F3" s="2"/>
      <c r="G3" s="2"/>
      <c r="H3" s="2"/>
      <c r="I3" s="2"/>
      <c r="J3" s="2"/>
      <c r="K3" s="2"/>
      <c r="L3" s="2"/>
    </row>
    <row r="4" customFormat="false" ht="9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30" hidden="false" customHeight="true" outlineLevel="0" collapsed="false">
      <c r="B6" s="21" t="s">
        <v>42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customFormat="false" ht="21.75" hidden="false" customHeight="true" outlineLevel="0" collapsed="false">
      <c r="B8" s="4" t="s">
        <v>2</v>
      </c>
      <c r="C8" s="4"/>
      <c r="D8" s="4"/>
      <c r="E8" s="4"/>
    </row>
    <row r="9" customFormat="false" ht="30" hidden="false" customHeight="true" outlineLevel="0" collapsed="false">
      <c r="B9" s="5" t="s">
        <v>3</v>
      </c>
      <c r="C9" s="5" t="s">
        <v>4</v>
      </c>
    </row>
    <row r="10" customFormat="false" ht="15" hidden="false" customHeight="false" outlineLevel="0" collapsed="false">
      <c r="B10" s="15" t="s">
        <v>43</v>
      </c>
    </row>
    <row r="13" customFormat="false" ht="21.75" hidden="false" customHeight="true" outlineLevel="0" collapsed="false">
      <c r="B13" s="4" t="s">
        <v>14</v>
      </c>
      <c r="C13" s="4"/>
      <c r="D13" s="4"/>
      <c r="E13" s="4"/>
    </row>
    <row r="14" customFormat="false" ht="30" hidden="false" customHeight="true" outlineLevel="0" collapsed="false">
      <c r="B14" s="5" t="s">
        <v>3</v>
      </c>
      <c r="C14" s="5" t="s">
        <v>15</v>
      </c>
    </row>
    <row r="15" customFormat="false" ht="15" hidden="false" customHeight="false" outlineLevel="0" collapsed="false">
      <c r="B15" s="15" t="s">
        <v>44</v>
      </c>
    </row>
    <row r="18" customFormat="false" ht="21.75" hidden="false" customHeight="true" outlineLevel="0" collapsed="false"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</row>
    <row r="19" customFormat="false" ht="30" hidden="false" customHeight="true" outlineLevel="0" collapsed="false">
      <c r="B19" s="5" t="s">
        <v>18</v>
      </c>
      <c r="C19" s="5" t="s">
        <v>19</v>
      </c>
      <c r="D19" s="5" t="s">
        <v>20</v>
      </c>
      <c r="E19" s="5" t="s">
        <v>21</v>
      </c>
      <c r="F19" s="5" t="s">
        <v>22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13</v>
      </c>
    </row>
    <row r="20" customFormat="false" ht="15" hidden="false" customHeight="false" outlineLevel="0" collapsed="false">
      <c r="B20" s="15" t="s">
        <v>45</v>
      </c>
    </row>
    <row r="23" customFormat="false" ht="21.75" hidden="false" customHeight="true" outlineLevel="0" collapsed="false">
      <c r="B23" s="4" t="s">
        <v>28</v>
      </c>
      <c r="C23" s="4"/>
      <c r="D23" s="4"/>
      <c r="E23" s="4"/>
      <c r="F23" s="4"/>
    </row>
    <row r="24" customFormat="false" ht="30" hidden="false" customHeight="true" outlineLevel="0" collapsed="false">
      <c r="B24" s="5" t="s">
        <v>29</v>
      </c>
      <c r="C24" s="5" t="s">
        <v>30</v>
      </c>
      <c r="D24" s="5" t="s">
        <v>31</v>
      </c>
      <c r="E24" s="5" t="s">
        <v>32</v>
      </c>
      <c r="F24" s="5" t="s">
        <v>33</v>
      </c>
    </row>
    <row r="25" customFormat="false" ht="15" hidden="false" customHeight="false" outlineLevel="0" collapsed="false">
      <c r="B25" s="15" t="s">
        <v>46</v>
      </c>
    </row>
    <row r="28" customFormat="false" ht="21.75" hidden="false" customHeight="true" outlineLevel="0" collapsed="false">
      <c r="B28" s="4" t="s">
        <v>34</v>
      </c>
      <c r="C28" s="4"/>
      <c r="D28" s="4"/>
      <c r="E28" s="4"/>
    </row>
    <row r="29" customFormat="false" ht="30" hidden="false" customHeight="true" outlineLevel="0" collapsed="false">
      <c r="B29" s="5" t="s">
        <v>3</v>
      </c>
      <c r="C29" s="5" t="s">
        <v>35</v>
      </c>
    </row>
    <row r="30" customFormat="false" ht="15" hidden="false" customHeight="false" outlineLevel="0" collapsed="false">
      <c r="B30" s="15" t="s">
        <v>47</v>
      </c>
    </row>
    <row r="33" customFormat="false" ht="15" hidden="false" customHeight="false" outlineLevel="0" collapsed="false">
      <c r="B33" s="20" t="s">
        <v>48</v>
      </c>
      <c r="C33" s="20"/>
      <c r="D33" s="20"/>
      <c r="E33" s="20"/>
      <c r="F33" s="20"/>
    </row>
  </sheetData>
  <mergeCells count="9">
    <mergeCell ref="D1:L2"/>
    <mergeCell ref="D3:L3"/>
    <mergeCell ref="B6:L6"/>
    <mergeCell ref="B8:E8"/>
    <mergeCell ref="B13:E13"/>
    <mergeCell ref="B18:K18"/>
    <mergeCell ref="B23:F23"/>
    <mergeCell ref="B28:E28"/>
    <mergeCell ref="B33:F3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2026-09-09T21:47:28Z</dcterms:created>
  <dc:creator>openpyxl</dc:creator>
  <dc:description/>
  <dc:language>en-US</dc:language>
  <cp:lastModifiedBy/>
  <dcterms:modified xsi:type="dcterms:W3CDTF">2026-09-09T21:47:30Z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